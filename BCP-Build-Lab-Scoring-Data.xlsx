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Priority" state="visible" r:id="rId4"/>
    <sheet sheetId="2" name="Scoring Weights" state="visible" r:id="rId5"/>
    <sheet sheetId="3" name="Dimension Rubric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<sst xmlns="http://schemas.openxmlformats.org/spreadsheetml/2006/main" count="160" uniqueCount="113">
  <si>
    <t>Company</t>
  </si>
  <si>
    <t>Fund</t>
  </si>
  <si>
    <t>Equity Check (USD)</t>
  </si>
  <si>
    <t>Current Value (USD)</t>
  </si>
  <si>
    <t>Check Size (1-5)</t>
  </si>
  <si>
    <t>Remaining Value (1-5)</t>
  </si>
  <si>
    <t>Runway (1-5)</t>
  </si>
  <si>
    <t>Investment Priority (1-5)</t>
  </si>
  <si>
    <t>Contribution to Score (of 35)</t>
  </si>
  <si>
    <t>HealthEdge</t>
  </si>
  <si>
    <t>Fund XIV</t>
  </si>
  <si>
    <t>Madison Scott</t>
  </si>
  <si>
    <t>PCI Pharma Services</t>
  </si>
  <si>
    <t>Service Logic</t>
  </si>
  <si>
    <t>athenahealth</t>
  </si>
  <si>
    <t>Fund XIII</t>
  </si>
  <si>
    <t>Guidehouse</t>
  </si>
  <si>
    <t>Evident Scientific</t>
  </si>
  <si>
    <t>Dessert Holdings</t>
  </si>
  <si>
    <t>Fund XII / XIII</t>
  </si>
  <si>
    <t>Envestnet</t>
  </si>
  <si>
    <t>PartsSource</t>
  </si>
  <si>
    <t>PowerSchool</t>
  </si>
  <si>
    <t>Zelis</t>
  </si>
  <si>
    <t>Fund XII</t>
  </si>
  <si>
    <t>Concert Golf</t>
  </si>
  <si>
    <t>Dealer Tire</t>
  </si>
  <si>
    <t>US LBM</t>
  </si>
  <si>
    <t>ExtraHop</t>
  </si>
  <si>
    <t>Fogo de Chao</t>
  </si>
  <si>
    <t>Frontline</t>
  </si>
  <si>
    <t>Imperial Dade</t>
  </si>
  <si>
    <t>Proterial</t>
  </si>
  <si>
    <t>Rocket Software</t>
  </si>
  <si>
    <t>Sizzling Platter</t>
  </si>
  <si>
    <t>1440 Foods</t>
  </si>
  <si>
    <t>Cereval</t>
  </si>
  <si>
    <t>EnterpriseDB</t>
  </si>
  <si>
    <t>Harrington Process Solutions</t>
  </si>
  <si>
    <t>InnovaCare</t>
  </si>
  <si>
    <t>Kailera Therapeutics</t>
  </si>
  <si>
    <t>LeanTaas</t>
  </si>
  <si>
    <t>Surgery Partners</t>
  </si>
  <si>
    <t>Fund XI</t>
  </si>
  <si>
    <t>Tanabe Pharma</t>
  </si>
  <si>
    <t>US Renal Care</t>
  </si>
  <si>
    <t>Bymmunity Therapeutics</t>
  </si>
  <si>
    <t>CentralSquare</t>
  </si>
  <si>
    <t>CitiusTech</t>
  </si>
  <si>
    <t>Nutanix</t>
  </si>
  <si>
    <t>Cardurion</t>
  </si>
  <si>
    <t>Aveanna</t>
  </si>
  <si>
    <t>Stada</t>
  </si>
  <si>
    <t>Virgin Australia</t>
  </si>
  <si>
    <t>Arxada</t>
  </si>
  <si>
    <t>Component</t>
  </si>
  <si>
    <t>Portfolio Build (weight)</t>
  </si>
  <si>
    <t>Specialist Build (weight)</t>
  </si>
  <si>
    <t>Business Impact</t>
  </si>
  <si>
    <t>Time to Artifact</t>
  </si>
  <si>
    <t>Data Feasibility</t>
  </si>
  <si>
    <t>Sponsorship &amp; Pull-through</t>
  </si>
  <si>
    <t>Strategic Fit &amp; Repeatability</t>
  </si>
  <si>
    <t>Opportunity Quality subtotal</t>
  </si>
  <si>
    <t>BC Investment Priority</t>
  </si>
  <si>
    <t>not applicable</t>
  </si>
  <si>
    <t>Total</t>
  </si>
  <si>
    <t>Dimension</t>
  </si>
  <si>
    <t>1</t>
  </si>
  <si>
    <t>2</t>
  </si>
  <si>
    <t>3</t>
  </si>
  <si>
    <t>4</t>
  </si>
  <si>
    <t>5</t>
  </si>
  <si>
    <t>Convenience for a few individuals; no measurable KPI or P&amp;L movement (e.g. reformatting an internal report)</t>
  </si>
  <si>
    <t>Time savings for a single team, hard to see beyond their workflow (e.g. drafting routine correspondence)</t>
  </si>
  <si>
    <t>Measurable improvement to one function's KPI — hours, cost, or cycle time (e.g. PMC prep from 6 hours to 1)</t>
  </si>
  <si>
    <t>Moves a company-level metric visible in monthly reporting — revenue, margin, churn, cost line (e.g. +50% claims-appeal capacity)</t>
  </si>
  <si>
    <t>Changes company economics or competitive position; board-level visibility (e.g. pricing engine adding 1–2 margin points across all quotes)</t>
  </si>
  <si>
    <t>12+ weeks to a usable artifact</t>
  </si>
  <si>
    <t>artifact within 6-12 weeks</t>
  </si>
  <si>
    <t>artifact within 4-6 weeks</t>
  </si>
  <si>
    <t>artifact within 2-4 weeks</t>
  </si>
  <si>
    <t>usable artifact within days to 2 weeks</t>
  </si>
  <si>
    <t>Required data doesn't exist, is on paper, or owner unknown/refusing; integrations would be built from scratch</t>
  </si>
  <si>
    <t>Data exists but fragmented across systems with no API path; significant IT effort, owners unconfirmed</t>
  </si>
  <si>
    <t>Sources and owners identified, but access unconfirmed or requires cleanup/manual exports (e.g. monthly GL extracts)</t>
  </si>
  <si>
    <t>Access confirmed to primary systems via API or export; minor gaps or cleanup remain (e.g. CRM connected, one spreadsheet source)</t>
  </si>
  <si>
    <t>All required data confirmed, API-accessible, clean, and current (e.g. Salesforce + warehouse already provisioned)</t>
  </si>
  <si>
    <t>No named sponsor or outcome owner; a requester submitting an idea on their own</t>
  </si>
  <si>
    <t>Sponsor named but unconfirmed or below director level; nobody owns the outcome metric</t>
  </si>
  <si>
    <t>Confirmed director/VP sponsor and a named outcome owner, but no adoption plan or committed user time</t>
  </si>
  <si>
    <t>Engaged VP/C-level sponsor who has committed team time; owner is accountable for the KPI it moves</t>
  </si>
  <si>
    <t>CEO/CFO-level sponsor with a forcing event; end users asking for it; adoption written into someone's goals</t>
  </si>
  <si>
    <t>One-off, company-specific workaround with no reuse anywhere (e.g. cleanup for a system being retired)</t>
  </si>
  <si>
    <t>Mostly bespoke; only lessons learned carry over to other companies</t>
  </si>
  <si>
    <t>Pattern usable at 2–3 portfolio companies with meaningful adaptation (same function, different systems)</t>
  </si>
  <si>
    <t>Template for a common function across many companies with modest configuration (e.g. invoice coding for any NetSuite portco)</t>
  </si>
  <si>
    <t>Playbook deployable portfolio-wide in waves; core to the AI value-creation thesis (e.g. PMC generation for every B2B portco)</t>
  </si>
  <si>
    <t>BCP Build Lab — Scoring Data</t>
  </si>
  <si>
    <t/>
  </si>
  <si>
    <t>This workbook accompanies the Scoring Methodology document.</t>
  </si>
  <si>
    <t>Investment Priority tab: every active portfolio company with its three 1-5 inputs and the</t>
  </si>
  <si>
    <t>resulting BC Investment Priority (a simple average). The Investment Priority and Contribution</t>
  </si>
  <si>
    <t>columns are live formulas, so you can edit an input score and see the result update.</t>
  </si>
  <si>
    <t>Source: equity check, current value, and fund data come from Natalie Wright's fund reporting.</t>
  </si>
  <si>
    <t>The table is refreshed whenever new reporting is published.</t>
  </si>
  <si>
    <t>Scoring Weights tab: the point weights for each build type. A portfolio company build scores</t>
  </si>
  <si>
    <t>65 points of opportunity quality plus 35 points of investment priority. A specialist (internal)</t>
  </si>
  <si>
    <t>build scores 100 points of opportunity quality and has no investment priority component.</t>
  </si>
  <si>
    <t>Dimension Rubric tab: the 1-to-5 rubric for each of the five quality dimensions.</t>
  </si>
  <si>
    <t>Scores rank ideas to inform the discussion. They never decide on their own; approvals and</t>
  </si>
  <si>
    <t>delivery assignments are always a human call in governance.</t>
  </si>
  <si>
    <t>Internal · August 2026 · build-lab.dev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</si>
</sst>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"/>
  </numFmts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  <font>
      <b/>
      <sz val="12"/>
    </font>
    <font>
      <sz val="10"/>
    </font>
    <font>
      <b/>
      <color rgb="FF152D48"/>
      <sz val="14"/>
    </font>
    <font>
      <color rgb="FF5C6E82"/>
      <sz val="11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152D48"/>
      </patternFill>
    </fill>
    <fill>
      <patternFill patternType="solid">
        <fgColor rgb="FFFEFCF5"/>
      </patternFill>
    </fill>
    <fill>
      <patternFill patternType="solid">
        <fgColor rgb="FFEDF3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152D4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4" width="18" customWidth="1"/>
    <col min="5" max="5" width="13" customWidth="1"/>
    <col min="6" max="6" width="16" customWidth="1"/>
    <col min="7" max="7" width="12" customWidth="1"/>
    <col min="8" max="8" width="17" customWidth="1"/>
    <col min="9" max="9" width="20" customWidth="1"/>
  </cols>
  <sheetData>
    <row r="1" ht="30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3">
        <v>1018022000</v>
      </c>
      <c r="D2" s="3">
        <v>2545055000</v>
      </c>
      <c r="E2" s="4">
        <v>5</v>
      </c>
      <c r="F2" s="4">
        <v>5</v>
      </c>
      <c r="G2" s="4">
        <v>5</v>
      </c>
      <c r="H2" s="5">
        <f>ROUND(AVERAGE(E2:G2),2)</f>
      </c>
      <c r="I2" s="6">
        <f>ROUND(H2/5*35,1)</f>
      </c>
    </row>
    <row r="3" spans="1:9" x14ac:dyDescent="0.25">
      <c r="A3" s="7" t="s">
        <v>11</v>
      </c>
      <c r="B3" s="7" t="s">
        <v>10</v>
      </c>
      <c r="C3" s="8">
        <v>900000000</v>
      </c>
      <c r="D3" s="8">
        <v>2250000000</v>
      </c>
      <c r="E3" s="9">
        <v>5</v>
      </c>
      <c r="F3" s="9">
        <v>5</v>
      </c>
      <c r="G3" s="9">
        <v>5</v>
      </c>
      <c r="H3" s="10">
        <f>ROUND(AVERAGE(E3:G3),2)</f>
      </c>
      <c r="I3" s="11">
        <f>ROUND(H3/5*35,1)</f>
      </c>
    </row>
    <row r="4" spans="1:9" x14ac:dyDescent="0.25">
      <c r="A4" t="s">
        <v>12</v>
      </c>
      <c r="B4" t="s">
        <v>10</v>
      </c>
      <c r="C4" s="3">
        <v>957993000</v>
      </c>
      <c r="D4" s="3">
        <v>2394982500</v>
      </c>
      <c r="E4" s="4">
        <v>5</v>
      </c>
      <c r="F4" s="4">
        <v>5</v>
      </c>
      <c r="G4" s="4">
        <v>5</v>
      </c>
      <c r="H4" s="5">
        <f>ROUND(AVERAGE(E4:G4),2)</f>
      </c>
      <c r="I4" s="6">
        <f>ROUND(H4/5*35,1)</f>
      </c>
    </row>
    <row r="5" spans="1:9" x14ac:dyDescent="0.25">
      <c r="A5" s="7" t="s">
        <v>13</v>
      </c>
      <c r="B5" s="7" t="s">
        <v>10</v>
      </c>
      <c r="C5" s="8">
        <v>927544000</v>
      </c>
      <c r="D5" s="8">
        <v>2318860000</v>
      </c>
      <c r="E5" s="9">
        <v>5</v>
      </c>
      <c r="F5" s="9">
        <v>5</v>
      </c>
      <c r="G5" s="9">
        <v>5</v>
      </c>
      <c r="H5" s="10">
        <f>ROUND(AVERAGE(E5:G5),2)</f>
      </c>
      <c r="I5" s="11">
        <f>ROUND(H5/5*35,1)</f>
      </c>
    </row>
    <row r="6" spans="1:9" x14ac:dyDescent="0.25">
      <c r="A6" t="s">
        <v>14</v>
      </c>
      <c r="B6" t="s">
        <v>15</v>
      </c>
      <c r="C6" s="3">
        <v>915060000</v>
      </c>
      <c r="D6" s="3">
        <v>3998812200</v>
      </c>
      <c r="E6" s="4">
        <v>5</v>
      </c>
      <c r="F6" s="4">
        <v>5</v>
      </c>
      <c r="G6" s="4">
        <v>4</v>
      </c>
      <c r="H6" s="5">
        <f>ROUND(AVERAGE(E6:G6),2)</f>
      </c>
      <c r="I6" s="6">
        <f>ROUND(H6/5*35,1)</f>
      </c>
    </row>
    <row r="7" spans="1:9" x14ac:dyDescent="0.25">
      <c r="A7" s="7" t="s">
        <v>16</v>
      </c>
      <c r="B7" s="7" t="s">
        <v>15</v>
      </c>
      <c r="C7" s="8">
        <v>782546000</v>
      </c>
      <c r="D7" s="8">
        <v>2684132780</v>
      </c>
      <c r="E7" s="9">
        <v>5</v>
      </c>
      <c r="F7" s="9">
        <v>5</v>
      </c>
      <c r="G7" s="9">
        <v>4</v>
      </c>
      <c r="H7" s="10">
        <f>ROUND(AVERAGE(E7:G7),2)</f>
      </c>
      <c r="I7" s="11">
        <f>ROUND(H7/5*35,1)</f>
      </c>
    </row>
    <row r="8" spans="1:9" x14ac:dyDescent="0.25">
      <c r="A8" t="s">
        <v>17</v>
      </c>
      <c r="B8" t="s">
        <v>15</v>
      </c>
      <c r="C8" s="3">
        <v>755957000</v>
      </c>
      <c r="D8" s="3">
        <v>1557271420</v>
      </c>
      <c r="E8" s="4">
        <v>5</v>
      </c>
      <c r="F8" s="4">
        <v>4</v>
      </c>
      <c r="G8" s="4">
        <v>4</v>
      </c>
      <c r="H8" s="5">
        <f>ROUND(AVERAGE(E8:G8),2)</f>
      </c>
      <c r="I8" s="6">
        <f>ROUND(H8/5*35,1)</f>
      </c>
    </row>
    <row r="9" spans="1:9" x14ac:dyDescent="0.25">
      <c r="A9" s="7" t="s">
        <v>18</v>
      </c>
      <c r="B9" s="7" t="s">
        <v>19</v>
      </c>
      <c r="C9" s="8">
        <v>553376000</v>
      </c>
      <c r="D9" s="8">
        <v>1743134400</v>
      </c>
      <c r="E9" s="9">
        <v>4</v>
      </c>
      <c r="F9" s="9">
        <v>4</v>
      </c>
      <c r="G9" s="9">
        <v>4</v>
      </c>
      <c r="H9" s="10">
        <f>ROUND(AVERAGE(E9:G9),2)</f>
      </c>
      <c r="I9" s="11">
        <f>ROUND(H9/5*35,1)</f>
      </c>
    </row>
    <row r="10" spans="1:9" x14ac:dyDescent="0.25">
      <c r="A10" t="s">
        <v>20</v>
      </c>
      <c r="B10" t="s">
        <v>15</v>
      </c>
      <c r="C10" s="3">
        <v>658436000</v>
      </c>
      <c r="D10" s="3">
        <v>2153085720</v>
      </c>
      <c r="E10" s="4">
        <v>4</v>
      </c>
      <c r="F10" s="4">
        <v>4</v>
      </c>
      <c r="G10" s="4">
        <v>4</v>
      </c>
      <c r="H10" s="5">
        <f>ROUND(AVERAGE(E10:G10),2)</f>
      </c>
      <c r="I10" s="6">
        <f>ROUND(H10/5*35,1)</f>
      </c>
    </row>
    <row r="11" spans="1:9" x14ac:dyDescent="0.25">
      <c r="A11" s="7" t="s">
        <v>21</v>
      </c>
      <c r="B11" s="7" t="s">
        <v>15</v>
      </c>
      <c r="C11" s="8">
        <v>710338000</v>
      </c>
      <c r="D11" s="8">
        <v>1633777400</v>
      </c>
      <c r="E11" s="9">
        <v>4</v>
      </c>
      <c r="F11" s="9">
        <v>4</v>
      </c>
      <c r="G11" s="9">
        <v>4</v>
      </c>
      <c r="H11" s="10">
        <f>ROUND(AVERAGE(E11:G11),2)</f>
      </c>
      <c r="I11" s="11">
        <f>ROUND(H11/5*35,1)</f>
      </c>
    </row>
    <row r="12" spans="1:9" x14ac:dyDescent="0.25">
      <c r="A12" t="s">
        <v>22</v>
      </c>
      <c r="B12" t="s">
        <v>15</v>
      </c>
      <c r="C12" s="3">
        <v>697580000</v>
      </c>
      <c r="D12" s="3">
        <v>1834635400</v>
      </c>
      <c r="E12" s="4">
        <v>4</v>
      </c>
      <c r="F12" s="4">
        <v>4</v>
      </c>
      <c r="G12" s="4">
        <v>4</v>
      </c>
      <c r="H12" s="5">
        <f>ROUND(AVERAGE(E12:G12),2)</f>
      </c>
      <c r="I12" s="6">
        <f>ROUND(H12/5*35,1)</f>
      </c>
    </row>
    <row r="13" spans="1:9" x14ac:dyDescent="0.25">
      <c r="A13" s="7" t="s">
        <v>23</v>
      </c>
      <c r="B13" s="7" t="s">
        <v>24</v>
      </c>
      <c r="C13" s="8">
        <v>756975000</v>
      </c>
      <c r="D13" s="8">
        <v>4700814750</v>
      </c>
      <c r="E13" s="9">
        <v>5</v>
      </c>
      <c r="F13" s="9">
        <v>5</v>
      </c>
      <c r="G13" s="9">
        <v>2</v>
      </c>
      <c r="H13" s="10">
        <f>ROUND(AVERAGE(E13:G13),2)</f>
      </c>
      <c r="I13" s="11">
        <f>ROUND(H13/5*35,1)</f>
      </c>
    </row>
    <row r="14" spans="1:9" x14ac:dyDescent="0.25">
      <c r="A14" t="s">
        <v>25</v>
      </c>
      <c r="B14" t="s">
        <v>10</v>
      </c>
      <c r="C14" s="3">
        <v>400938000</v>
      </c>
      <c r="D14" s="3">
        <v>1002345000</v>
      </c>
      <c r="E14" s="4">
        <v>3</v>
      </c>
      <c r="F14" s="4">
        <v>3</v>
      </c>
      <c r="G14" s="4">
        <v>5</v>
      </c>
      <c r="H14" s="5">
        <f>ROUND(AVERAGE(E14:G14),2)</f>
      </c>
      <c r="I14" s="6">
        <f>ROUND(H14/5*35,1)</f>
      </c>
    </row>
    <row r="15" spans="1:9" x14ac:dyDescent="0.25">
      <c r="A15" s="7" t="s">
        <v>26</v>
      </c>
      <c r="B15" s="7" t="s">
        <v>24</v>
      </c>
      <c r="C15" s="8">
        <v>744364000</v>
      </c>
      <c r="D15" s="8">
        <v>1898128200</v>
      </c>
      <c r="E15" s="9">
        <v>5</v>
      </c>
      <c r="F15" s="9">
        <v>4</v>
      </c>
      <c r="G15" s="9">
        <v>2</v>
      </c>
      <c r="H15" s="10">
        <f>ROUND(AVERAGE(E15:G15),2)</f>
      </c>
      <c r="I15" s="11">
        <f>ROUND(H15/5*35,1)</f>
      </c>
    </row>
    <row r="16" spans="1:9" x14ac:dyDescent="0.25">
      <c r="A16" t="s">
        <v>27</v>
      </c>
      <c r="B16" t="s">
        <v>24</v>
      </c>
      <c r="C16" s="3">
        <v>731289000</v>
      </c>
      <c r="D16" s="3">
        <v>3641819220</v>
      </c>
      <c r="E16" s="4">
        <v>4</v>
      </c>
      <c r="F16" s="4">
        <v>5</v>
      </c>
      <c r="G16" s="4">
        <v>2</v>
      </c>
      <c r="H16" s="5">
        <f>ROUND(AVERAGE(E16:G16),2)</f>
      </c>
      <c r="I16" s="6">
        <f>ROUND(H16/5*35,1)</f>
      </c>
    </row>
    <row r="17" spans="1:9" x14ac:dyDescent="0.25">
      <c r="A17" s="7" t="s">
        <v>28</v>
      </c>
      <c r="B17" s="7" t="s">
        <v>15</v>
      </c>
      <c r="C17" s="8">
        <v>468247000</v>
      </c>
      <c r="D17" s="8">
        <v>931811530</v>
      </c>
      <c r="E17" s="9">
        <v>3</v>
      </c>
      <c r="F17" s="9">
        <v>3</v>
      </c>
      <c r="G17" s="9">
        <v>4</v>
      </c>
      <c r="H17" s="10">
        <f>ROUND(AVERAGE(E17:G17),2)</f>
      </c>
      <c r="I17" s="11">
        <f>ROUND(H17/5*35,1)</f>
      </c>
    </row>
    <row r="18" spans="1:9" x14ac:dyDescent="0.25">
      <c r="A18" t="s">
        <v>29</v>
      </c>
      <c r="B18" t="s">
        <v>15</v>
      </c>
      <c r="C18" s="3">
        <v>425322000</v>
      </c>
      <c r="D18" s="3">
        <v>1118596860</v>
      </c>
      <c r="E18" s="4">
        <v>3</v>
      </c>
      <c r="F18" s="4">
        <v>3</v>
      </c>
      <c r="G18" s="4">
        <v>4</v>
      </c>
      <c r="H18" s="5">
        <f>ROUND(AVERAGE(E18:G18),2)</f>
      </c>
      <c r="I18" s="6">
        <f>ROUND(H18/5*35,1)</f>
      </c>
    </row>
    <row r="19" spans="1:9" x14ac:dyDescent="0.25">
      <c r="A19" s="7" t="s">
        <v>30</v>
      </c>
      <c r="B19" s="7" t="s">
        <v>15</v>
      </c>
      <c r="C19" s="8">
        <v>497000000</v>
      </c>
      <c r="D19" s="8">
        <v>1242500000</v>
      </c>
      <c r="E19" s="9">
        <v>3</v>
      </c>
      <c r="F19" s="9">
        <v>3</v>
      </c>
      <c r="G19" s="9">
        <v>4</v>
      </c>
      <c r="H19" s="10">
        <f>ROUND(AVERAGE(E19:G19),2)</f>
      </c>
      <c r="I19" s="11">
        <f>ROUND(H19/5*35,1)</f>
      </c>
    </row>
    <row r="20" spans="1:9" x14ac:dyDescent="0.25">
      <c r="A20" t="s">
        <v>31</v>
      </c>
      <c r="B20" t="s">
        <v>24</v>
      </c>
      <c r="C20" s="3">
        <v>420946000</v>
      </c>
      <c r="D20" s="3">
        <v>2058425940</v>
      </c>
      <c r="E20" s="4">
        <v>3</v>
      </c>
      <c r="F20" s="4">
        <v>4</v>
      </c>
      <c r="G20" s="4">
        <v>2</v>
      </c>
      <c r="H20" s="5">
        <f>ROUND(AVERAGE(E20:G20),2)</f>
      </c>
      <c r="I20" s="6">
        <f>ROUND(H20/5*35,1)</f>
      </c>
    </row>
    <row r="21" spans="1:9" x14ac:dyDescent="0.25">
      <c r="A21" s="7" t="s">
        <v>32</v>
      </c>
      <c r="B21" s="7" t="s">
        <v>24</v>
      </c>
      <c r="C21" s="8">
        <v>721083000</v>
      </c>
      <c r="D21" s="8">
        <v>1326792720</v>
      </c>
      <c r="E21" s="9">
        <v>4</v>
      </c>
      <c r="F21" s="9">
        <v>3</v>
      </c>
      <c r="G21" s="9">
        <v>2</v>
      </c>
      <c r="H21" s="10">
        <f>ROUND(AVERAGE(E21:G21),2)</f>
      </c>
      <c r="I21" s="11">
        <f>ROUND(H21/5*35,1)</f>
      </c>
    </row>
    <row r="22" spans="1:9" x14ac:dyDescent="0.25">
      <c r="A22" t="s">
        <v>33</v>
      </c>
      <c r="B22" t="s">
        <v>24</v>
      </c>
      <c r="C22" s="3">
        <v>427034000</v>
      </c>
      <c r="D22" s="3">
        <v>1622729200</v>
      </c>
      <c r="E22" s="4">
        <v>3</v>
      </c>
      <c r="F22" s="4">
        <v>4</v>
      </c>
      <c r="G22" s="4">
        <v>2</v>
      </c>
      <c r="H22" s="5">
        <f>ROUND(AVERAGE(E22:G22),2)</f>
      </c>
      <c r="I22" s="6">
        <f>ROUND(H22/5*35,1)</f>
      </c>
    </row>
    <row r="23" spans="1:9" x14ac:dyDescent="0.25">
      <c r="A23" s="7" t="s">
        <v>34</v>
      </c>
      <c r="B23" s="7" t="s">
        <v>15</v>
      </c>
      <c r="C23" s="8">
        <v>400274000</v>
      </c>
      <c r="D23" s="8">
        <v>1000685000</v>
      </c>
      <c r="E23" s="9">
        <v>2</v>
      </c>
      <c r="F23" s="9">
        <v>3</v>
      </c>
      <c r="G23" s="9">
        <v>4</v>
      </c>
      <c r="H23" s="10">
        <f>ROUND(AVERAGE(E23:G23),2)</f>
      </c>
      <c r="I23" s="11">
        <f>ROUND(H23/5*35,1)</f>
      </c>
    </row>
    <row r="24" spans="1:9" x14ac:dyDescent="0.25">
      <c r="A24" t="s">
        <v>35</v>
      </c>
      <c r="B24" t="s">
        <v>15</v>
      </c>
      <c r="C24" s="3">
        <v>332190000</v>
      </c>
      <c r="D24" s="3">
        <v>810543600</v>
      </c>
      <c r="E24" s="4">
        <v>2</v>
      </c>
      <c r="F24" s="4">
        <v>2</v>
      </c>
      <c r="G24" s="4">
        <v>4</v>
      </c>
      <c r="H24" s="5">
        <f>ROUND(AVERAGE(E24:G24),2)</f>
      </c>
      <c r="I24" s="6">
        <f>ROUND(H24/5*35,1)</f>
      </c>
    </row>
    <row r="25" spans="1:9" x14ac:dyDescent="0.25">
      <c r="A25" s="7" t="s">
        <v>36</v>
      </c>
      <c r="B25" s="7" t="s">
        <v>24</v>
      </c>
      <c r="C25" s="8">
        <v>295858000</v>
      </c>
      <c r="D25" s="8">
        <v>2207100680</v>
      </c>
      <c r="E25" s="9">
        <v>2</v>
      </c>
      <c r="F25" s="9">
        <v>4</v>
      </c>
      <c r="G25" s="9">
        <v>2</v>
      </c>
      <c r="H25" s="10">
        <f>ROUND(AVERAGE(E25:G25),2)</f>
      </c>
      <c r="I25" s="11">
        <f>ROUND(H25/5*35,1)</f>
      </c>
    </row>
    <row r="26" spans="1:9" x14ac:dyDescent="0.25">
      <c r="A26" t="s">
        <v>37</v>
      </c>
      <c r="B26" t="s">
        <v>15</v>
      </c>
      <c r="C26" s="3">
        <v>303629000</v>
      </c>
      <c r="D26" s="3">
        <v>704419280</v>
      </c>
      <c r="E26" s="4">
        <v>2</v>
      </c>
      <c r="F26" s="4">
        <v>2</v>
      </c>
      <c r="G26" s="4">
        <v>4</v>
      </c>
      <c r="H26" s="5">
        <f>ROUND(AVERAGE(E26:G26),2)</f>
      </c>
      <c r="I26" s="6">
        <f>ROUND(H26/5*35,1)</f>
      </c>
    </row>
    <row r="27" spans="1:9" x14ac:dyDescent="0.25">
      <c r="A27" s="7" t="s">
        <v>38</v>
      </c>
      <c r="B27" s="7" t="s">
        <v>15</v>
      </c>
      <c r="C27" s="8">
        <v>296545000</v>
      </c>
      <c r="D27" s="8">
        <v>848118700</v>
      </c>
      <c r="E27" s="9">
        <v>2</v>
      </c>
      <c r="F27" s="9">
        <v>2</v>
      </c>
      <c r="G27" s="9">
        <v>4</v>
      </c>
      <c r="H27" s="10">
        <f>ROUND(AVERAGE(E27:G27),2)</f>
      </c>
      <c r="I27" s="11">
        <f>ROUND(H27/5*35,1)</f>
      </c>
    </row>
    <row r="28" spans="1:9" x14ac:dyDescent="0.25">
      <c r="A28" t="s">
        <v>39</v>
      </c>
      <c r="B28" t="s">
        <v>15</v>
      </c>
      <c r="C28" s="3">
        <v>446554000</v>
      </c>
      <c r="D28" s="3">
        <v>0</v>
      </c>
      <c r="E28" s="4">
        <v>3</v>
      </c>
      <c r="F28" s="4">
        <v>1</v>
      </c>
      <c r="G28" s="4">
        <v>4</v>
      </c>
      <c r="H28" s="5">
        <f>ROUND(AVERAGE(E28:G28),2)</f>
      </c>
      <c r="I28" s="6">
        <f>ROUND(H28/5*35,1)</f>
      </c>
    </row>
    <row r="29" spans="1:9" x14ac:dyDescent="0.25">
      <c r="A29" s="7" t="s">
        <v>40</v>
      </c>
      <c r="B29" s="7" t="s">
        <v>10</v>
      </c>
      <c r="C29" s="8">
        <v>210042000</v>
      </c>
      <c r="D29" s="8">
        <v>525105000</v>
      </c>
      <c r="E29" s="9">
        <v>1</v>
      </c>
      <c r="F29" s="9">
        <v>2</v>
      </c>
      <c r="G29" s="9">
        <v>5</v>
      </c>
      <c r="H29" s="10">
        <f>ROUND(AVERAGE(E29:G29),2)</f>
      </c>
      <c r="I29" s="11">
        <f>ROUND(H29/5*35,1)</f>
      </c>
    </row>
    <row r="30" spans="1:9" x14ac:dyDescent="0.25">
      <c r="A30" t="s">
        <v>41</v>
      </c>
      <c r="B30" t="s">
        <v>15</v>
      </c>
      <c r="C30" s="3">
        <v>328542000</v>
      </c>
      <c r="D30" s="3">
        <v>811498740</v>
      </c>
      <c r="E30" s="4">
        <v>2</v>
      </c>
      <c r="F30" s="4">
        <v>2</v>
      </c>
      <c r="G30" s="4">
        <v>4</v>
      </c>
      <c r="H30" s="5">
        <f>ROUND(AVERAGE(E30:G30),2)</f>
      </c>
      <c r="I30" s="6">
        <f>ROUND(H30/5*35,1)</f>
      </c>
    </row>
    <row r="31" spans="1:9" x14ac:dyDescent="0.25">
      <c r="A31" s="7" t="s">
        <v>42</v>
      </c>
      <c r="B31" s="7" t="s">
        <v>43</v>
      </c>
      <c r="C31" s="8">
        <v>576360000</v>
      </c>
      <c r="D31" s="8">
        <v>1492772400</v>
      </c>
      <c r="E31" s="9">
        <v>4</v>
      </c>
      <c r="F31" s="9">
        <v>3</v>
      </c>
      <c r="G31" s="9">
        <v>1</v>
      </c>
      <c r="H31" s="10">
        <f>ROUND(AVERAGE(E31:G31),2)</f>
      </c>
      <c r="I31" s="11">
        <f>ROUND(H31/5*35,1)</f>
      </c>
    </row>
    <row r="32" spans="1:9" x14ac:dyDescent="0.25">
      <c r="A32" t="s">
        <v>44</v>
      </c>
      <c r="B32" t="s">
        <v>10</v>
      </c>
      <c r="C32" s="3">
        <v>272062000</v>
      </c>
      <c r="D32" s="3">
        <v>680155000</v>
      </c>
      <c r="E32" s="4">
        <v>1</v>
      </c>
      <c r="F32" s="4">
        <v>2</v>
      </c>
      <c r="G32" s="4">
        <v>5</v>
      </c>
      <c r="H32" s="5">
        <f>ROUND(AVERAGE(E32:G32),2)</f>
      </c>
      <c r="I32" s="6">
        <f>ROUND(H32/5*35,1)</f>
      </c>
    </row>
    <row r="33" spans="1:9" x14ac:dyDescent="0.25">
      <c r="A33" s="7" t="s">
        <v>45</v>
      </c>
      <c r="B33" s="7" t="s">
        <v>24</v>
      </c>
      <c r="C33" s="8">
        <v>484810000</v>
      </c>
      <c r="D33" s="8">
        <v>1027797200</v>
      </c>
      <c r="E33" s="9">
        <v>3</v>
      </c>
      <c r="F33" s="9">
        <v>3</v>
      </c>
      <c r="G33" s="9">
        <v>2</v>
      </c>
      <c r="H33" s="10">
        <f>ROUND(AVERAGE(E33:G33),2)</f>
      </c>
      <c r="I33" s="11">
        <f>ROUND(H33/5*35,1)</f>
      </c>
    </row>
    <row r="34" spans="1:9" x14ac:dyDescent="0.25">
      <c r="A34" t="s">
        <v>46</v>
      </c>
      <c r="B34" t="s">
        <v>10</v>
      </c>
      <c r="C34" s="3">
        <v>54612000</v>
      </c>
      <c r="D34" s="3">
        <v>158374800</v>
      </c>
      <c r="E34" s="4">
        <v>1</v>
      </c>
      <c r="F34" s="4">
        <v>1</v>
      </c>
      <c r="G34" s="4">
        <v>5</v>
      </c>
      <c r="H34" s="5">
        <f>ROUND(AVERAGE(E34:G34),2)</f>
      </c>
      <c r="I34" s="6">
        <f>ROUND(H34/5*35,1)</f>
      </c>
    </row>
    <row r="35" spans="1:9" x14ac:dyDescent="0.25">
      <c r="A35" s="7" t="s">
        <v>47</v>
      </c>
      <c r="B35" s="7" t="s">
        <v>24</v>
      </c>
      <c r="C35" s="8">
        <v>426458000</v>
      </c>
      <c r="D35" s="8">
        <v>895561800</v>
      </c>
      <c r="E35" s="9">
        <v>3</v>
      </c>
      <c r="F35" s="9">
        <v>2</v>
      </c>
      <c r="G35" s="9">
        <v>2</v>
      </c>
      <c r="H35" s="10">
        <f>ROUND(AVERAGE(E35:G35),2)</f>
      </c>
      <c r="I35" s="11">
        <f>ROUND(H35/5*35,1)</f>
      </c>
    </row>
    <row r="36" spans="1:9" x14ac:dyDescent="0.25">
      <c r="A36" t="s">
        <v>48</v>
      </c>
      <c r="B36" t="s">
        <v>15</v>
      </c>
      <c r="C36" s="3">
        <v>293506000</v>
      </c>
      <c r="D36" s="3">
        <v>507765380</v>
      </c>
      <c r="E36" s="4">
        <v>2</v>
      </c>
      <c r="F36" s="4">
        <v>1</v>
      </c>
      <c r="G36" s="4">
        <v>4</v>
      </c>
      <c r="H36" s="5">
        <f>ROUND(AVERAGE(E36:G36),2)</f>
      </c>
      <c r="I36" s="6">
        <f>ROUND(H36/5*35,1)</f>
      </c>
    </row>
    <row r="37" spans="1:9" x14ac:dyDescent="0.25">
      <c r="A37" s="7" t="s">
        <v>49</v>
      </c>
      <c r="B37" s="7" t="s">
        <v>24</v>
      </c>
      <c r="C37" s="8">
        <v>352806000</v>
      </c>
      <c r="D37" s="8">
        <v>1425336240</v>
      </c>
      <c r="E37" s="9">
        <v>2</v>
      </c>
      <c r="F37" s="9">
        <v>3</v>
      </c>
      <c r="G37" s="9">
        <v>2</v>
      </c>
      <c r="H37" s="10">
        <f>ROUND(AVERAGE(E37:G37),2)</f>
      </c>
      <c r="I37" s="11">
        <f>ROUND(H37/5*35,1)</f>
      </c>
    </row>
    <row r="38" spans="1:9" x14ac:dyDescent="0.25">
      <c r="A38" t="s">
        <v>50</v>
      </c>
      <c r="B38" t="s">
        <v>15</v>
      </c>
      <c r="C38" s="3">
        <v>110826000</v>
      </c>
      <c r="D38" s="3">
        <v>465469200</v>
      </c>
      <c r="E38" s="4">
        <v>1</v>
      </c>
      <c r="F38" s="4">
        <v>1</v>
      </c>
      <c r="G38" s="4">
        <v>4</v>
      </c>
      <c r="H38" s="5">
        <f>ROUND(AVERAGE(E38:G38),2)</f>
      </c>
      <c r="I38" s="6">
        <f>ROUND(H38/5*35,1)</f>
      </c>
    </row>
    <row r="39" spans="1:9" x14ac:dyDescent="0.25">
      <c r="A39" s="7" t="s">
        <v>51</v>
      </c>
      <c r="B39" s="7" t="s">
        <v>43</v>
      </c>
      <c r="C39" s="8">
        <v>351126000</v>
      </c>
      <c r="D39" s="8">
        <v>586380420</v>
      </c>
      <c r="E39" s="9">
        <v>2</v>
      </c>
      <c r="F39" s="9">
        <v>2</v>
      </c>
      <c r="G39" s="9">
        <v>1</v>
      </c>
      <c r="H39" s="10">
        <f>ROUND(AVERAGE(E39:G39),2)</f>
      </c>
      <c r="I39" s="11">
        <f>ROUND(H39/5*35,1)</f>
      </c>
    </row>
    <row r="40" spans="1:9" x14ac:dyDescent="0.25">
      <c r="A40" t="s">
        <v>52</v>
      </c>
      <c r="B40" t="s">
        <v>43</v>
      </c>
      <c r="C40" s="3">
        <v>383403000</v>
      </c>
      <c r="D40" s="3">
        <v>843486600</v>
      </c>
      <c r="E40" s="4">
        <v>2</v>
      </c>
      <c r="F40" s="4">
        <v>2</v>
      </c>
      <c r="G40" s="4">
        <v>1</v>
      </c>
      <c r="H40" s="5">
        <f>ROUND(AVERAGE(E40:G40),2)</f>
      </c>
      <c r="I40" s="6">
        <f>ROUND(H40/5*35,1)</f>
      </c>
    </row>
    <row r="41" spans="1:9" x14ac:dyDescent="0.25">
      <c r="A41" s="7" t="s">
        <v>53</v>
      </c>
      <c r="B41" s="7" t="s">
        <v>24</v>
      </c>
      <c r="C41" s="8">
        <v>144659000</v>
      </c>
      <c r="D41" s="8">
        <v>695809790</v>
      </c>
      <c r="E41" s="9">
        <v>1</v>
      </c>
      <c r="F41" s="9">
        <v>2</v>
      </c>
      <c r="G41" s="9">
        <v>2</v>
      </c>
      <c r="H41" s="10">
        <f>ROUND(AVERAGE(E41:G41),2)</f>
      </c>
      <c r="I41" s="11">
        <f>ROUND(H41/5*35,1)</f>
      </c>
    </row>
    <row r="42" spans="1:9" x14ac:dyDescent="0.25">
      <c r="A42" t="s">
        <v>54</v>
      </c>
      <c r="B42" t="s">
        <v>24</v>
      </c>
      <c r="C42" s="3">
        <v>252388000</v>
      </c>
      <c r="D42" s="3">
        <v>499728240</v>
      </c>
      <c r="E42" s="4">
        <v>1</v>
      </c>
      <c r="F42" s="4">
        <v>1</v>
      </c>
      <c r="G42" s="4">
        <v>2</v>
      </c>
      <c r="H42" s="5">
        <f>ROUND(AVERAGE(E42:G42),2)</f>
      </c>
      <c r="I42" s="6">
        <f>ROUND(H42/5*35,1)</f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2" customWidth="1"/>
    <col min="2" max="3" width="22" customWidth="1"/>
  </cols>
  <sheetData>
    <row r="1" ht="30" customHeight="1" spans="1:3" x14ac:dyDescent="0.25">
      <c r="A1" s="1" t="s">
        <v>55</v>
      </c>
      <c r="B1" s="2" t="s">
        <v>56</v>
      </c>
      <c r="C1" s="2" t="s">
        <v>57</v>
      </c>
    </row>
    <row r="2" spans="1:3" x14ac:dyDescent="0.25">
      <c r="A2" t="s">
        <v>58</v>
      </c>
      <c r="B2" s="4">
        <v>17</v>
      </c>
      <c r="C2" s="4">
        <v>27</v>
      </c>
    </row>
    <row r="3" spans="1:3" x14ac:dyDescent="0.25">
      <c r="A3" t="s">
        <v>59</v>
      </c>
      <c r="B3" s="4">
        <v>17</v>
      </c>
      <c r="C3" s="4">
        <v>27</v>
      </c>
    </row>
    <row r="4" spans="1:3" x14ac:dyDescent="0.25">
      <c r="A4" t="s">
        <v>60</v>
      </c>
      <c r="B4" s="4">
        <v>13</v>
      </c>
      <c r="C4" s="4">
        <v>20</v>
      </c>
    </row>
    <row r="5" spans="1:3" x14ac:dyDescent="0.25">
      <c r="A5" t="s">
        <v>61</v>
      </c>
      <c r="B5" s="4">
        <v>9</v>
      </c>
      <c r="C5" s="4">
        <v>13</v>
      </c>
    </row>
    <row r="6" spans="1:3" x14ac:dyDescent="0.25">
      <c r="A6" t="s">
        <v>62</v>
      </c>
      <c r="B6" s="4">
        <v>9</v>
      </c>
      <c r="C6" s="4">
        <v>13</v>
      </c>
    </row>
    <row r="7" spans="1:3" x14ac:dyDescent="0.25">
      <c r="A7" s="12" t="s">
        <v>63</v>
      </c>
      <c r="B7" s="13">
        <v>65</v>
      </c>
      <c r="C7" s="13">
        <v>100</v>
      </c>
    </row>
    <row r="8" spans="1:3" x14ac:dyDescent="0.25">
      <c r="A8" t="s">
        <v>64</v>
      </c>
      <c r="B8" s="4">
        <v>35</v>
      </c>
      <c r="C8" s="4" t="s">
        <v>65</v>
      </c>
    </row>
    <row r="9" spans="1:3" x14ac:dyDescent="0.25">
      <c r="A9" s="14" t="s">
        <v>66</v>
      </c>
      <c r="B9" s="15">
        <v>100</v>
      </c>
      <c r="C9" s="15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6" customWidth="1"/>
    <col min="2" max="2" width="30" customWidth="1"/>
    <col min="3" max="4" width="24" customWidth="1"/>
    <col min="5" max="5" width="30" customWidth="1"/>
    <col min="6" max="6" width="32" customWidth="1"/>
  </cols>
  <sheetData>
    <row r="1" ht="30" customHeight="1" spans="1:6" x14ac:dyDescent="0.25">
      <c r="A1" s="1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</row>
    <row r="2" ht="58" customHeight="1" spans="1:6" x14ac:dyDescent="0.25">
      <c r="A2" s="16" t="s">
        <v>58</v>
      </c>
      <c r="B2" s="17" t="s">
        <v>73</v>
      </c>
      <c r="C2" s="17" t="s">
        <v>74</v>
      </c>
      <c r="D2" s="17" t="s">
        <v>75</v>
      </c>
      <c r="E2" s="17" t="s">
        <v>76</v>
      </c>
      <c r="F2" s="17" t="s">
        <v>77</v>
      </c>
    </row>
    <row r="3" ht="58" customHeight="1" spans="1:6" x14ac:dyDescent="0.25">
      <c r="A3" s="16" t="s">
        <v>59</v>
      </c>
      <c r="B3" s="17" t="s">
        <v>78</v>
      </c>
      <c r="C3" s="17" t="s">
        <v>79</v>
      </c>
      <c r="D3" s="17" t="s">
        <v>80</v>
      </c>
      <c r="E3" s="17" t="s">
        <v>81</v>
      </c>
      <c r="F3" s="17" t="s">
        <v>82</v>
      </c>
    </row>
    <row r="4" ht="58" customHeight="1" spans="1:6" x14ac:dyDescent="0.25">
      <c r="A4" s="16" t="s">
        <v>60</v>
      </c>
      <c r="B4" s="17" t="s">
        <v>83</v>
      </c>
      <c r="C4" s="17" t="s">
        <v>84</v>
      </c>
      <c r="D4" s="17" t="s">
        <v>85</v>
      </c>
      <c r="E4" s="17" t="s">
        <v>86</v>
      </c>
      <c r="F4" s="17" t="s">
        <v>87</v>
      </c>
    </row>
    <row r="5" ht="58" customHeight="1" spans="1:6" x14ac:dyDescent="0.25">
      <c r="A5" s="16" t="s">
        <v>61</v>
      </c>
      <c r="B5" s="17" t="s">
        <v>88</v>
      </c>
      <c r="C5" s="17" t="s">
        <v>89</v>
      </c>
      <c r="D5" s="17" t="s">
        <v>90</v>
      </c>
      <c r="E5" s="17" t="s">
        <v>91</v>
      </c>
      <c r="F5" s="17" t="s">
        <v>92</v>
      </c>
    </row>
    <row r="6" ht="58" customHeight="1" spans="1:6" x14ac:dyDescent="0.25">
      <c r="A6" s="16" t="s">
        <v>62</v>
      </c>
      <c r="B6" s="17" t="s">
        <v>93</v>
      </c>
      <c r="C6" s="17" t="s">
        <v>94</v>
      </c>
      <c r="D6" s="17" t="s">
        <v>95</v>
      </c>
      <c r="E6" s="17" t="s">
        <v>96</v>
      </c>
      <c r="F6" s="17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00" customWidth="1"/>
  </cols>
  <sheetData>
    <row r="1" spans="1:1" x14ac:dyDescent="0.25">
      <c r="A1" s="18" t="s">
        <v>98</v>
      </c>
    </row>
    <row r="2" spans="1:1" x14ac:dyDescent="0.25">
      <c r="A2" s="19" t="s">
        <v>99</v>
      </c>
    </row>
    <row r="3" spans="1:1" x14ac:dyDescent="0.25">
      <c r="A3" s="19" t="s">
        <v>100</v>
      </c>
    </row>
    <row r="4" spans="1:1" x14ac:dyDescent="0.25">
      <c r="A4" s="19" t="s">
        <v>99</v>
      </c>
    </row>
    <row r="5" spans="1:1" x14ac:dyDescent="0.25">
      <c r="A5" s="20" t="s">
        <v>101</v>
      </c>
    </row>
    <row r="6" spans="1:1" x14ac:dyDescent="0.25">
      <c r="A6" s="19" t="s">
        <v>102</v>
      </c>
    </row>
    <row r="7" spans="1:1" x14ac:dyDescent="0.25">
      <c r="A7" s="19" t="s">
        <v>103</v>
      </c>
    </row>
    <row r="8" spans="1:1" x14ac:dyDescent="0.25">
      <c r="A8" s="19" t="s">
        <v>99</v>
      </c>
    </row>
    <row r="9" spans="1:1" x14ac:dyDescent="0.25">
      <c r="A9" s="20" t="s">
        <v>104</v>
      </c>
    </row>
    <row r="10" spans="1:1" x14ac:dyDescent="0.25">
      <c r="A10" s="19" t="s">
        <v>105</v>
      </c>
    </row>
    <row r="11" spans="1:1" x14ac:dyDescent="0.25">
      <c r="A11" s="19" t="s">
        <v>99</v>
      </c>
    </row>
    <row r="12" spans="1:1" x14ac:dyDescent="0.25">
      <c r="A12" s="20" t="s">
        <v>106</v>
      </c>
    </row>
    <row r="13" spans="1:1" x14ac:dyDescent="0.25">
      <c r="A13" s="19" t="s">
        <v>107</v>
      </c>
    </row>
    <row r="14" spans="1:1" x14ac:dyDescent="0.25">
      <c r="A14" s="19" t="s">
        <v>108</v>
      </c>
    </row>
    <row r="15" spans="1:1" x14ac:dyDescent="0.25">
      <c r="A15" s="19" t="s">
        <v>99</v>
      </c>
    </row>
    <row r="16" spans="1:1" x14ac:dyDescent="0.25">
      <c r="A16" s="20" t="s">
        <v>109</v>
      </c>
    </row>
    <row r="17" spans="1:1" x14ac:dyDescent="0.25">
      <c r="A17" s="19" t="s">
        <v>99</v>
      </c>
    </row>
    <row r="18" spans="1:1" x14ac:dyDescent="0.25">
      <c r="A18" s="19" t="s">
        <v>110</v>
      </c>
    </row>
    <row r="19" spans="1:1" x14ac:dyDescent="0.25">
      <c r="A19" s="19" t="s">
        <v>111</v>
      </c>
    </row>
    <row r="20" spans="1:1" x14ac:dyDescent="0.25">
      <c r="A20" s="19" t="s">
        <v>99</v>
      </c>
    </row>
    <row r="21" spans="1:1" x14ac:dyDescent="0.25">
      <c r="A21" s="19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Investment Priority</vt:lpstr>
      <vt:lpstr>Scoring Weights</vt:lpstr>
      <vt:lpstr>Dimension Rubric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BCP Build Lab</dc:creator>
  <dc:title/>
  <dc:subject/>
  <dc:description/>
  <cp:keywords/>
  <cp:category/>
  <cp:lastModifiedBy>Unknown</cp:lastModifiedBy>
  <dcterms:created xsi:type="dcterms:W3CDTF">2026-08-01T04:00:00Z</dcterms:created>
  <dcterms:modified xsi:type="dcterms:W3CDTF">2026-08-19T15:12:06Z</dcterms:modified>
</cp:coreProperties>
</file>